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Прогно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Сводка по активному сценарию (меняется переключателем на листе «Допущения»)</t>
        </is>
      </c>
    </row>
    <row r="3">
      <c r="A3" t="inlineStr">
        <is>
          <t>Выручка за горизонт</t>
        </is>
      </c>
      <c r="B3" s="2">
        <f>SUM('Прогноз'!E2:E37)</f>
        <v/>
      </c>
    </row>
    <row r="4">
      <c r="A4" t="inlineStr">
        <is>
          <t>Денежный поток за горизонт</t>
        </is>
      </c>
      <c r="B4" s="2">
        <f>SUM('Прогноз'!K2:K37)</f>
        <v/>
      </c>
    </row>
    <row r="5">
      <c r="A5" t="inlineStr">
        <is>
          <t>NPV</t>
        </is>
      </c>
      <c r="B5" s="2">
        <f>SUM('Прогноз'!M2:M37)</f>
        <v/>
      </c>
    </row>
    <row r="6">
      <c r="A6" t="inlineStr">
        <is>
          <t>Макс. потребность в финансировании</t>
        </is>
      </c>
      <c r="B6" s="2">
        <f>-MIN(0,MIN('Прогноз'!L2:L37))</f>
        <v/>
      </c>
    </row>
    <row r="7">
      <c r="A7" t="inlineStr">
        <is>
          <t>LTV</t>
        </is>
      </c>
      <c r="B7" s="2">
        <f>'Допущения'!$F$10*(1-'Допущения'!$F$13)/'Допущения'!$F$11</f>
        <v/>
      </c>
    </row>
    <row r="8">
      <c r="A8" t="inlineStr">
        <is>
          <t>LTV / CAC</t>
        </is>
      </c>
      <c r="B8" s="3">
        <f>B7/'Допущения'!$F$12</f>
        <v/>
      </c>
    </row>
    <row r="11">
      <c r="A11" s="1" t="inlineStr">
        <is>
          <t>Сравнение трёх сценариев (рассчитано движком; валюта RUB)</t>
        </is>
      </c>
    </row>
    <row r="12">
      <c r="A12" s="1" t="inlineStr">
        <is>
          <t>Показатель</t>
        </is>
      </c>
      <c r="B12" s="1" t="inlineStr">
        <is>
          <t>Пессимистичный</t>
        </is>
      </c>
      <c r="C12" s="1" t="inlineStr">
        <is>
          <t>Базовый</t>
        </is>
      </c>
      <c r="D12" s="1" t="inlineStr">
        <is>
          <t>Оптимистичный</t>
        </is>
      </c>
    </row>
    <row r="13">
      <c r="A13" t="inlineStr">
        <is>
          <t>NPV</t>
        </is>
      </c>
      <c r="B13" s="2" t="n">
        <v>-152061177.1535974</v>
      </c>
      <c r="C13" s="2" t="n">
        <v>-119538641.425445</v>
      </c>
      <c r="D13" s="2" t="n">
        <v>-38341327.2560107</v>
      </c>
    </row>
    <row r="14">
      <c r="A14" t="inlineStr">
        <is>
          <t>Макс. потребность в финансировании</t>
        </is>
      </c>
      <c r="B14" s="2" t="n">
        <v>226462947.6679062</v>
      </c>
      <c r="C14" s="2" t="n">
        <v>163100469.7307143</v>
      </c>
      <c r="D14" s="2" t="n">
        <v>57459209.92814542</v>
      </c>
    </row>
    <row r="15">
      <c r="A15" t="inlineStr">
        <is>
          <t>Месяц окупаемости</t>
        </is>
      </c>
      <c r="B15" s="2" t="inlineStr">
        <is>
          <t>&gt; 36</t>
        </is>
      </c>
      <c r="C15" s="2" t="inlineStr">
        <is>
          <t>&gt; 36</t>
        </is>
      </c>
      <c r="D15" s="2" t="inlineStr">
        <is>
          <t>&gt; 36</t>
        </is>
      </c>
    </row>
    <row r="16">
      <c r="A16" t="inlineStr">
        <is>
          <t>LTV / CAC</t>
        </is>
      </c>
      <c r="B16" s="2" t="n">
        <v>1.13</v>
      </c>
      <c r="C16" s="2" t="n">
        <v>15.96</v>
      </c>
      <c r="D16" s="2" t="n">
        <v>94.87</v>
      </c>
    </row>
    <row r="17">
      <c r="A17" t="inlineStr">
        <is>
          <t>Выручка, год 1</t>
        </is>
      </c>
      <c r="B17" s="2" t="n">
        <v>0</v>
      </c>
      <c r="C17" s="2" t="n">
        <v>506956.6936769999</v>
      </c>
      <c r="D17" s="2" t="n">
        <v>3110494.422228647</v>
      </c>
    </row>
    <row r="18">
      <c r="A18" t="inlineStr">
        <is>
          <t>Выручка, год 2</t>
        </is>
      </c>
      <c r="B18" s="2" t="n">
        <v>1062850.147541173</v>
      </c>
      <c r="C18" s="2" t="n">
        <v>10598996.96977855</v>
      </c>
      <c r="D18" s="2" t="n">
        <v>33057597.84479261</v>
      </c>
    </row>
    <row r="19">
      <c r="A19" t="inlineStr">
        <is>
          <t>Выручка, год 3</t>
        </is>
      </c>
      <c r="B19" s="2" t="n">
        <v>4382436.985908251</v>
      </c>
      <c r="C19" s="2" t="n">
        <v>27604869.68978435</v>
      </c>
      <c r="D19" s="2" t="n">
        <v>82422939.34743914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60" customWidth="1" min="8" max="8"/>
    <col width="16" customWidth="1" min="9" max="9"/>
  </cols>
  <sheetData>
    <row r="1">
      <c r="A1" t="inlineStr">
        <is>
          <t>Активный сценарий (1 — пессим., 2 — базовый, 3 — оптим.)</t>
        </is>
      </c>
      <c r="B1" s="4" t="n">
        <v>2</v>
      </c>
    </row>
    <row r="3">
      <c r="A3" s="5" t="inlineStr">
        <is>
          <t>Ключ</t>
        </is>
      </c>
      <c r="B3" s="5" t="inlineStr">
        <is>
          <t>Драйвер</t>
        </is>
      </c>
      <c r="C3" s="5" t="inlineStr">
        <is>
          <t>Пессимистичный</t>
        </is>
      </c>
      <c r="D3" s="5" t="inlineStr">
        <is>
          <t>Базовый</t>
        </is>
      </c>
      <c r="E3" s="5" t="inlineStr">
        <is>
          <t>Оптимистичный</t>
        </is>
      </c>
      <c r="F3" s="5" t="inlineStr">
        <is>
          <t>Активный</t>
        </is>
      </c>
      <c r="G3" s="5" t="inlineStr">
        <is>
          <t>Ед.</t>
        </is>
      </c>
      <c r="H3" s="5" t="inlineStr">
        <is>
          <t>Источник / логика</t>
        </is>
      </c>
      <c r="I3" s="5" t="inlineStr">
        <is>
          <t>Доказательность</t>
        </is>
      </c>
    </row>
    <row r="4">
      <c r="A4" t="inlineStr">
        <is>
          <t>launch_delay_months</t>
        </is>
      </c>
      <c r="B4" t="inlineStr">
        <is>
          <t>Срок до запуска</t>
        </is>
      </c>
      <c r="C4" s="4" t="n">
        <v>15</v>
      </c>
      <c r="D4" s="4" t="n">
        <v>9</v>
      </c>
      <c r="E4" s="4" t="n">
        <v>7</v>
      </c>
      <c r="F4">
        <f>CHOOSE($B$1,C4,D4,E4)</f>
        <v/>
      </c>
      <c r="G4" t="inlineStr">
        <is>
          <t>мес</t>
        </is>
      </c>
      <c r="H4" t="inlineStr">
        <is>
          <t>До первой платной выручки. База: MVP М3, пилоты М4–М5, решение М6–М7 (02_po), запись в реестре М7–М9 (02_certification §4, §6.3) → выручка с М10. Пессим.: MVP 4,5 мес (PO), отказ в реестре и повторная подача +3–5 мес (сертификация), BA: деньги через 9–12 мес после MVP, сезонность IV кв. Оптим.: клиент без требования реестра, договор М6–М7 (PO)</t>
        </is>
      </c>
      <c r="I4" t="inlineStr">
        <is>
          <t>Вывод</t>
        </is>
      </c>
    </row>
    <row r="5">
      <c r="A5" t="inlineStr">
        <is>
          <t>dev_investment</t>
        </is>
      </c>
      <c r="B5" t="inlineStr">
        <is>
          <t>Инвестиции в разработку до запуска</t>
        </is>
      </c>
      <c r="C5" s="4" t="n">
        <v>58000000</v>
      </c>
      <c r="D5" s="4" t="n">
        <v>30000000</v>
      </c>
      <c r="E5" s="4" t="n">
        <v>17400000</v>
      </c>
      <c r="F5">
        <f>CHOOSE($B$1,C5,D5,E5)</f>
        <v/>
      </c>
      <c r="G5" t="inlineStr">
        <is>
          <t>RUB</t>
        </is>
      </c>
      <c r="H5" t="inlineStr">
        <is>
          <t>Вся команда до первой выручки × полная стоимость чел.-мес. (0,48 / 0,60 / 0,42 млн ₽: оклад + взносы IT-аккредитации 15%/7,6% по 02_legal §3.8 + 20% накладных). База: этап 0 1,5 + MVP 13,5 + пилоты 18 + v1/реестр 22,5 ч-мес (02_po дорожная карта) = 55,5 × 0,48 + продавец с М5 2,4 млн + инфраструктура 0,9 млн</t>
        </is>
      </c>
      <c r="I5" t="inlineStr">
        <is>
          <t>Вывод</t>
        </is>
      </c>
    </row>
    <row r="6">
      <c r="A6" t="inlineStr">
        <is>
          <t>compliance_one_time</t>
        </is>
      </c>
      <c r="B6" t="inlineStr">
        <is>
          <t>Разовые затраты на право и сертификацию</t>
        </is>
      </c>
      <c r="C6" s="4" t="n">
        <v>11200000</v>
      </c>
      <c r="D6" s="4" t="n">
        <v>7200000</v>
      </c>
      <c r="E6" s="4" t="n">
        <v>3700000</v>
      </c>
      <c r="F6">
        <f>CHOOSE($B$1,C6,D6,E6)</f>
        <v/>
      </c>
      <c r="G6" t="inlineStr">
        <is>
          <t>RUB</t>
        </is>
      </c>
      <c r="H6" t="inlineStr">
        <is>
          <t>Юрист on-prem+облако 1,13–2,9 млн (02_legal §6) + сертификация базовый сценарий 2,8–8,3 млн (02_certification §6.2) без ФСТЭК, минус дубль G0 0,2–0,5 млн. База — середины, пессим. — верх + повторная подача в реестр 0,5 млн, оптим. — низ</t>
        </is>
      </c>
      <c r="I6" t="inlineStr">
        <is>
          <t>Гипотеза</t>
        </is>
      </c>
    </row>
    <row r="7">
      <c r="A7" t="inlineStr">
        <is>
          <t>compliance_annual</t>
        </is>
      </c>
      <c r="B7" t="inlineStr">
        <is>
          <t>Ежегодные затраты на поддержку статусов и комплаенс</t>
        </is>
      </c>
      <c r="C7" s="4" t="n">
        <v>11300000</v>
      </c>
      <c r="D7" s="4" t="n">
        <v>7500000</v>
      </c>
      <c r="E7" s="4" t="n">
        <v>4650000</v>
      </c>
      <c r="F7">
        <f>CHOOSE($B$1,C7,D7,E7)</f>
        <v/>
      </c>
      <c r="G7" t="inlineStr">
        <is>
          <t>RUB/год</t>
        </is>
      </c>
      <c r="H7" t="inlineStr">
        <is>
          <t>Юрист 0,85–2,6 млн/год (02_legal §6) + сертификация 3,8–7,9 млн/год, из них AppSec/SDL 3–6 (02_certification §6.2). Пессим. + страхование киберрисков 0,8 млн (02_legal)</t>
        </is>
      </c>
      <c r="I7" t="inlineStr">
        <is>
          <t>Гипотеза</t>
        </is>
      </c>
    </row>
    <row r="8">
      <c r="A8" t="inlineStr">
        <is>
          <t>new_customers_first_month</t>
        </is>
      </c>
      <c r="B8" t="inlineStr">
        <is>
          <t>Новые клиенты в первый месяц продаж</t>
        </is>
      </c>
      <c r="C8" s="4" t="n">
        <v>0.2</v>
      </c>
      <c r="D8" s="4" t="n">
        <v>0.35</v>
      </c>
      <c r="E8" s="4" t="n">
        <v>0.5</v>
      </c>
      <c r="F8">
        <f>CHOOSE($B$1,C8,D8,E8)</f>
        <v/>
      </c>
      <c r="G8" t="inlineStr">
        <is>
          <t>шт</t>
        </is>
      </c>
      <c r="H8" t="inlineStr">
        <is>
          <t>3 пилота × конверсия пилот→договор 40% (02_ba, диапазон 25–60%) ≈ 1,2 договора за первые 3 мес; мощность команды-новичка 4–6 сделок/год (02_ba). Пессим.: 2 пилота × 25%; оптим.: 3–4 пилота × 60%</t>
        </is>
      </c>
      <c r="I8" t="inlineStr">
        <is>
          <t>Гипотеза</t>
        </is>
      </c>
    </row>
    <row r="9">
      <c r="A9" t="inlineStr">
        <is>
          <t>new_customers_growth</t>
        </is>
      </c>
      <c r="B9" t="inlineStr">
        <is>
          <t>Рост числа новых клиентов</t>
        </is>
      </c>
      <c r="C9" s="4" t="n">
        <v>0.02</v>
      </c>
      <c r="D9" s="4" t="n">
        <v>0.03</v>
      </c>
      <c r="E9" s="4" t="n">
        <v>0.035</v>
      </c>
      <c r="F9">
        <f>CHOOSE($B$1,C9,D9,E9)</f>
        <v/>
      </c>
      <c r="G9" t="inlineStr">
        <is>
          <t>доля/мес</t>
        </is>
      </c>
      <c r="H9" t="inlineStr">
        <is>
          <t>Калибровка на SOM 02_ba: база ≈ 13 активных клиентов и ≈ 37 млн ₽ ARR к М36 (SOM 12 клиентов / 36 млн); оптим. ≈ 23 (≤ 28 = SAM 277 × 40% × 25%); пессим. ≈ 4 (нижняя граница SOM)</t>
        </is>
      </c>
      <c r="I9" t="inlineStr">
        <is>
          <t>Вывод</t>
        </is>
      </c>
    </row>
    <row r="10">
      <c r="A10" t="inlineStr">
        <is>
          <t>price_per_month</t>
        </is>
      </c>
      <c r="B10" t="inlineStr">
        <is>
          <t>ARPU (выручка на активного клиента)</t>
        </is>
      </c>
      <c r="C10" s="4" t="n">
        <v>119000</v>
      </c>
      <c r="D10" s="4" t="n">
        <v>238000</v>
      </c>
      <c r="E10" s="4" t="n">
        <v>398000</v>
      </c>
      <c r="F10">
        <f>CHOOSE($B$1,C10,D10,E10)</f>
        <v/>
      </c>
      <c r="G10" t="inlineStr">
        <is>
          <t>RUB/мес</t>
        </is>
      </c>
      <c r="H10" t="inlineStr">
        <is>
          <t>Чек 02_ba 1,5 / 3,0 / 5,0 млн ₽/год; 75% лицензия из реестра (НДС 0%, пп.26 п.2 ст.149 НК) + 25% поддержка (НДС 22%) по 02_legal §3.5 → выручка без НДС 1,43 / 2,87 / 4,78 млн ₽/год ÷ 12</t>
        </is>
      </c>
      <c r="I10" t="inlineStr">
        <is>
          <t>Гипотеза</t>
        </is>
      </c>
    </row>
    <row r="11">
      <c r="A11" t="inlineStr">
        <is>
          <t>monthly_churn</t>
        </is>
      </c>
      <c r="B11" t="inlineStr">
        <is>
          <t>Месячный отток</t>
        </is>
      </c>
      <c r="C11" s="4" t="n">
        <v>0.0237</v>
      </c>
      <c r="D11" s="4" t="n">
        <v>0.008699999999999999</v>
      </c>
      <c r="E11" s="4" t="n">
        <v>0.0043</v>
      </c>
      <c r="F11">
        <f>CHOOSE($B$1,C11,D11,E11)</f>
        <v/>
      </c>
      <c r="G11" t="inlineStr">
        <is>
          <t>доля/мес</t>
        </is>
      </c>
      <c r="H11" t="inlineStr">
        <is>
          <t>Годовой logo churn 02_ba 10% (5–20%) → 1−0,9^(1/12). Пессим. 25%/год — коммодитизация (бюджеты бесплатны в LiteLLM, стандарт российских шлюзов, 02_ba/02_po R8); оптим. 5%/год (низкий отток инфраструктурных вендоров, Arenadata в 02_ba)</t>
        </is>
      </c>
      <c r="I11" t="inlineStr">
        <is>
          <t>Гипотеза</t>
        </is>
      </c>
    </row>
    <row r="12">
      <c r="A12" t="inlineStr">
        <is>
          <t>cac</t>
        </is>
      </c>
      <c r="B12" t="inlineStr">
        <is>
          <t>CAC (стоимость привлечения клиента)</t>
        </is>
      </c>
      <c r="C12" s="4" t="n">
        <v>2000000</v>
      </c>
      <c r="D12" s="4" t="n">
        <v>1200000</v>
      </c>
      <c r="E12" s="4" t="n">
        <v>800000</v>
      </c>
      <c r="F12">
        <f>CHOOSE($B$1,C12,D12,E12)</f>
        <v/>
      </c>
      <c r="G12" t="inlineStr">
        <is>
          <t>RUB</t>
        </is>
      </c>
      <c r="H12" t="inlineStr">
        <is>
          <t>Инкрементальный CAC (фикс продавца и пресейла — в постоянных затратах): пилотные стенды/выезды 0,12 млн ÷ конверсия 40% + маркетинг 3 млн/год ÷ 5 сделок + бонус 10% первого года. Полный CAC ≈ 2,9 млн — в коридоре 02_ba 1,5–3 млн</t>
        </is>
      </c>
      <c r="I12" t="inlineStr">
        <is>
          <t>Гипотеза</t>
        </is>
      </c>
    </row>
    <row r="13">
      <c r="A13" t="inlineStr">
        <is>
          <t>variable_cost_share</t>
        </is>
      </c>
      <c r="B13" t="inlineStr">
        <is>
          <t>Переменные затраты</t>
        </is>
      </c>
      <c r="C13" s="4" t="n">
        <v>0.55</v>
      </c>
      <c r="D13" s="4" t="n">
        <v>0.3</v>
      </c>
      <c r="E13" s="4" t="n">
        <v>0.18</v>
      </c>
      <c r="F13">
        <f>CHOOSE($B$1,C13,D13,E13)</f>
        <v/>
      </c>
      <c r="G13" t="inlineStr">
        <is>
          <t>доля выручки</t>
        </is>
      </c>
      <c r="H13" t="inlineStr">
        <is>
          <t>Поддержка on-prem 0,1–0,2 FTE на клиента в год 1 (02_po), в среднем 0,08 FTE × 0,48 млн × 12 ≈ 16% выручки + партнёрская маржа интеграторов ≈ 10% (02_ba: продажи через партнёров) + облако в аттестованном сегменте и инструменты 3–4% (02_certification). Пессим.: 0,1 FTE при чеке 1,43 млн + 10–15% партнёрам</t>
        </is>
      </c>
      <c r="I13" t="inlineStr">
        <is>
          <t>Вывод</t>
        </is>
      </c>
    </row>
    <row r="14">
      <c r="A14" t="inlineStr">
        <is>
          <t>fixed_costs_monthly</t>
        </is>
      </c>
      <c r="B14" t="inlineStr">
        <is>
          <t>Постоянные затраты после запуска</t>
        </is>
      </c>
      <c r="C14" s="4" t="n">
        <v>5500000</v>
      </c>
      <c r="D14" s="4" t="n">
        <v>4200000</v>
      </c>
      <c r="E14" s="4" t="n">
        <v>2800000</v>
      </c>
      <c r="F14">
        <f>CHOOSE($B$1,C14,D14,E14)</f>
        <v/>
      </c>
      <c r="G14" t="inlineStr">
        <is>
          <t>RUB/мес</t>
        </is>
      </c>
      <c r="H14" t="inlineStr">
        <is>
          <t>Команда этапа 3 02_po §9: ядро 4 + backend 1 + внедрение/поддержка 1 + пресейл 0,5 + PO 1 = 7,5 FTE + 1 продавец = 8,5 FTE × 0,48 млн + инфраструктура 0,1 млн. AppSec — в compliance_annual. Пессим. 9 FTE × 0,6; оптим. 6,5 FTE × 0,42</t>
        </is>
      </c>
      <c r="I14" t="inlineStr">
        <is>
          <t>Вывод</t>
        </is>
      </c>
    </row>
    <row r="15">
      <c r="A15" t="inlineStr">
        <is>
          <t>discount_rate_annual</t>
        </is>
      </c>
      <c r="B15" t="inlineStr">
        <is>
          <t>Ставка дисконтирования</t>
        </is>
      </c>
      <c r="C15" s="4" t="n">
        <v>0.3</v>
      </c>
      <c r="D15" s="4" t="n">
        <v>0.25</v>
      </c>
      <c r="E15" s="4" t="n">
        <v>0.2</v>
      </c>
      <c r="F15">
        <f>CHOOSE($B$1,C15,D15,E15)</f>
        <v/>
      </c>
      <c r="G15" t="inlineStr">
        <is>
          <t>доля/год</t>
        </is>
      </c>
      <c r="H15" t="inlineStr">
        <is>
          <t>Ключевая ставка ЦБ 14% (сентябрь 2026, Интерфакс) + премия за риск нового продукта без подтверждённого спроса 6–16 п.п.</t>
        </is>
      </c>
      <c r="I15" t="inlineStr">
        <is>
          <t>Вывод</t>
        </is>
      </c>
    </row>
  </sheetData>
  <dataValidations count="1">
    <dataValidation sqref="B1" showDropDown="0" showInputMessage="0" showErrorMessage="0" allowBlank="0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Месяц</t>
        </is>
      </c>
      <c r="B1" s="5" t="inlineStr">
        <is>
          <t>До запуска?</t>
        </is>
      </c>
      <c r="C1" s="5" t="inlineStr">
        <is>
          <t>Новые клиенты</t>
        </is>
      </c>
      <c r="D1" s="5" t="inlineStr">
        <is>
          <t>Активные клиенты</t>
        </is>
      </c>
      <c r="E1" s="5" t="inlineStr">
        <is>
          <t>Выручка</t>
        </is>
      </c>
      <c r="F1" s="5" t="inlineStr">
        <is>
          <t>Переменные затраты</t>
        </is>
      </c>
      <c r="G1" s="5" t="inlineStr">
        <is>
          <t>Маркетинг (CAC)</t>
        </is>
      </c>
      <c r="H1" s="5" t="inlineStr">
        <is>
          <t>Постоянные затраты</t>
        </is>
      </c>
      <c r="I1" s="5" t="inlineStr">
        <is>
          <t>Комплаенс</t>
        </is>
      </c>
      <c r="J1" s="5" t="inlineStr">
        <is>
          <t>Инвестиции</t>
        </is>
      </c>
      <c r="K1" s="5" t="inlineStr">
        <is>
          <t>Денежный поток</t>
        </is>
      </c>
      <c r="L1" s="5" t="inlineStr">
        <is>
          <t>Накопленный поток</t>
        </is>
      </c>
      <c r="M1" s="5" t="inlineStr">
        <is>
          <t>Дисконт. поток</t>
        </is>
      </c>
    </row>
    <row r="2">
      <c r="A2" t="n">
        <v>1</v>
      </c>
      <c r="B2">
        <f>A2&lt;=MAX(1,ROUND('Допущения'!$F$4,0))</f>
        <v/>
      </c>
      <c r="C2">
        <f>IF(B2,0,'Допущения'!$F$8*(1+'Допущения'!$F$9)^(A2-MAX(1,ROUND('Допущения'!$F$4,0))-1))</f>
        <v/>
      </c>
      <c r="D2">
        <f>C2</f>
        <v/>
      </c>
      <c r="E2">
        <f>D2*'Допущения'!$F$10</f>
        <v/>
      </c>
      <c r="F2">
        <f>E2*'Допущения'!$F$13</f>
        <v/>
      </c>
      <c r="G2">
        <f>C2*'Допущения'!$F$12</f>
        <v/>
      </c>
      <c r="H2">
        <f>IF(B2,0,'Допущения'!$F$14)</f>
        <v/>
      </c>
      <c r="I2">
        <f>'Допущения'!$F$7/12</f>
        <v/>
      </c>
      <c r="J2">
        <f>IF(B2,('Допущения'!$F$5+'Допущения'!$F$6)/MAX(1,ROUND('Допущения'!$F$4,0)),0)</f>
        <v/>
      </c>
      <c r="K2">
        <f>E2-F2-G2-H2-I2-J2</f>
        <v/>
      </c>
      <c r="L2">
        <f>K2</f>
        <v/>
      </c>
      <c r="M2">
        <f>K2/(1+'Допущения'!$F$15)^(A2/12)</f>
        <v/>
      </c>
    </row>
    <row r="3">
      <c r="A3" t="n">
        <v>2</v>
      </c>
      <c r="B3">
        <f>A3&lt;=MAX(1,ROUND('Допущения'!$F$4,0))</f>
        <v/>
      </c>
      <c r="C3">
        <f>IF(B3,0,'Допущения'!$F$8*(1+'Допущения'!$F$9)^(A3-MAX(1,ROUND('Допущения'!$F$4,0))-1))</f>
        <v/>
      </c>
      <c r="D3">
        <f>D2*(1-'Допущения'!$F$11)+C3</f>
        <v/>
      </c>
      <c r="E3">
        <f>D3*'Допущения'!$F$10</f>
        <v/>
      </c>
      <c r="F3">
        <f>E3*'Допущения'!$F$13</f>
        <v/>
      </c>
      <c r="G3">
        <f>C3*'Допущения'!$F$12</f>
        <v/>
      </c>
      <c r="H3">
        <f>IF(B3,0,'Допущения'!$F$14)</f>
        <v/>
      </c>
      <c r="I3">
        <f>'Допущения'!$F$7/12</f>
        <v/>
      </c>
      <c r="J3">
        <f>IF(B3,('Допущения'!$F$5+'Допущения'!$F$6)/MAX(1,ROUND('Допущения'!$F$4,0)),0)</f>
        <v/>
      </c>
      <c r="K3">
        <f>E3-F3-G3-H3-I3-J3</f>
        <v/>
      </c>
      <c r="L3">
        <f>L2+K3</f>
        <v/>
      </c>
      <c r="M3">
        <f>K3/(1+'Допущения'!$F$15)^(A3/12)</f>
        <v/>
      </c>
    </row>
    <row r="4">
      <c r="A4" t="n">
        <v>3</v>
      </c>
      <c r="B4">
        <f>A4&lt;=MAX(1,ROUND('Допущения'!$F$4,0))</f>
        <v/>
      </c>
      <c r="C4">
        <f>IF(B4,0,'Допущения'!$F$8*(1+'Допущения'!$F$9)^(A4-MAX(1,ROUND('Допущения'!$F$4,0))-1))</f>
        <v/>
      </c>
      <c r="D4">
        <f>D3*(1-'Допущения'!$F$11)+C4</f>
        <v/>
      </c>
      <c r="E4">
        <f>D4*'Допущения'!$F$10</f>
        <v/>
      </c>
      <c r="F4">
        <f>E4*'Допущения'!$F$13</f>
        <v/>
      </c>
      <c r="G4">
        <f>C4*'Допущения'!$F$12</f>
        <v/>
      </c>
      <c r="H4">
        <f>IF(B4,0,'Допущения'!$F$14)</f>
        <v/>
      </c>
      <c r="I4">
        <f>'Допущения'!$F$7/12</f>
        <v/>
      </c>
      <c r="J4">
        <f>IF(B4,('Допущения'!$F$5+'Допущения'!$F$6)/MAX(1,ROUND('Допущения'!$F$4,0)),0)</f>
        <v/>
      </c>
      <c r="K4">
        <f>E4-F4-G4-H4-I4-J4</f>
        <v/>
      </c>
      <c r="L4">
        <f>L3+K4</f>
        <v/>
      </c>
      <c r="M4">
        <f>K4/(1+'Допущения'!$F$15)^(A4/12)</f>
        <v/>
      </c>
    </row>
    <row r="5">
      <c r="A5" t="n">
        <v>4</v>
      </c>
      <c r="B5">
        <f>A5&lt;=MAX(1,ROUND('Допущения'!$F$4,0))</f>
        <v/>
      </c>
      <c r="C5">
        <f>IF(B5,0,'Допущения'!$F$8*(1+'Допущения'!$F$9)^(A5-MAX(1,ROUND('Допущения'!$F$4,0))-1))</f>
        <v/>
      </c>
      <c r="D5">
        <f>D4*(1-'Допущения'!$F$11)+C5</f>
        <v/>
      </c>
      <c r="E5">
        <f>D5*'Допущения'!$F$10</f>
        <v/>
      </c>
      <c r="F5">
        <f>E5*'Допущения'!$F$13</f>
        <v/>
      </c>
      <c r="G5">
        <f>C5*'Допущения'!$F$12</f>
        <v/>
      </c>
      <c r="H5">
        <f>IF(B5,0,'Допущения'!$F$14)</f>
        <v/>
      </c>
      <c r="I5">
        <f>'Допущения'!$F$7/12</f>
        <v/>
      </c>
      <c r="J5">
        <f>IF(B5,('Допущения'!$F$5+'Допущения'!$F$6)/MAX(1,ROUND('Допущения'!$F$4,0)),0)</f>
        <v/>
      </c>
      <c r="K5">
        <f>E5-F5-G5-H5-I5-J5</f>
        <v/>
      </c>
      <c r="L5">
        <f>L4+K5</f>
        <v/>
      </c>
      <c r="M5">
        <f>K5/(1+'Допущения'!$F$15)^(A5/12)</f>
        <v/>
      </c>
    </row>
    <row r="6">
      <c r="A6" t="n">
        <v>5</v>
      </c>
      <c r="B6">
        <f>A6&lt;=MAX(1,ROUND('Допущения'!$F$4,0))</f>
        <v/>
      </c>
      <c r="C6">
        <f>IF(B6,0,'Допущения'!$F$8*(1+'Допущения'!$F$9)^(A6-MAX(1,ROUND('Допущения'!$F$4,0))-1))</f>
        <v/>
      </c>
      <c r="D6">
        <f>D5*(1-'Допущения'!$F$11)+C6</f>
        <v/>
      </c>
      <c r="E6">
        <f>D6*'Допущения'!$F$10</f>
        <v/>
      </c>
      <c r="F6">
        <f>E6*'Допущения'!$F$13</f>
        <v/>
      </c>
      <c r="G6">
        <f>C6*'Допущения'!$F$12</f>
        <v/>
      </c>
      <c r="H6">
        <f>IF(B6,0,'Допущения'!$F$14)</f>
        <v/>
      </c>
      <c r="I6">
        <f>'Допущения'!$F$7/12</f>
        <v/>
      </c>
      <c r="J6">
        <f>IF(B6,('Допущения'!$F$5+'Допущения'!$F$6)/MAX(1,ROUND('Допущения'!$F$4,0)),0)</f>
        <v/>
      </c>
      <c r="K6">
        <f>E6-F6-G6-H6-I6-J6</f>
        <v/>
      </c>
      <c r="L6">
        <f>L5+K6</f>
        <v/>
      </c>
      <c r="M6">
        <f>K6/(1+'Допущения'!$F$15)^(A6/12)</f>
        <v/>
      </c>
    </row>
    <row r="7">
      <c r="A7" t="n">
        <v>6</v>
      </c>
      <c r="B7">
        <f>A7&lt;=MAX(1,ROUND('Допущения'!$F$4,0))</f>
        <v/>
      </c>
      <c r="C7">
        <f>IF(B7,0,'Допущения'!$F$8*(1+'Допущения'!$F$9)^(A7-MAX(1,ROUND('Допущения'!$F$4,0))-1))</f>
        <v/>
      </c>
      <c r="D7">
        <f>D6*(1-'Допущения'!$F$11)+C7</f>
        <v/>
      </c>
      <c r="E7">
        <f>D7*'Допущения'!$F$10</f>
        <v/>
      </c>
      <c r="F7">
        <f>E7*'Допущения'!$F$13</f>
        <v/>
      </c>
      <c r="G7">
        <f>C7*'Допущения'!$F$12</f>
        <v/>
      </c>
      <c r="H7">
        <f>IF(B7,0,'Допущения'!$F$14)</f>
        <v/>
      </c>
      <c r="I7">
        <f>'Допущения'!$F$7/12</f>
        <v/>
      </c>
      <c r="J7">
        <f>IF(B7,('Допущения'!$F$5+'Допущения'!$F$6)/MAX(1,ROUND('Допущения'!$F$4,0)),0)</f>
        <v/>
      </c>
      <c r="K7">
        <f>E7-F7-G7-H7-I7-J7</f>
        <v/>
      </c>
      <c r="L7">
        <f>L6+K7</f>
        <v/>
      </c>
      <c r="M7">
        <f>K7/(1+'Допущения'!$F$15)^(A7/12)</f>
        <v/>
      </c>
    </row>
    <row r="8">
      <c r="A8" t="n">
        <v>7</v>
      </c>
      <c r="B8">
        <f>A8&lt;=MAX(1,ROUND('Допущения'!$F$4,0))</f>
        <v/>
      </c>
      <c r="C8">
        <f>IF(B8,0,'Допущения'!$F$8*(1+'Допущения'!$F$9)^(A8-MAX(1,ROUND('Допущения'!$F$4,0))-1))</f>
        <v/>
      </c>
      <c r="D8">
        <f>D7*(1-'Допущения'!$F$11)+C8</f>
        <v/>
      </c>
      <c r="E8">
        <f>D8*'Допущения'!$F$10</f>
        <v/>
      </c>
      <c r="F8">
        <f>E8*'Допущения'!$F$13</f>
        <v/>
      </c>
      <c r="G8">
        <f>C8*'Допущения'!$F$12</f>
        <v/>
      </c>
      <c r="H8">
        <f>IF(B8,0,'Допущения'!$F$14)</f>
        <v/>
      </c>
      <c r="I8">
        <f>'Допущения'!$F$7/12</f>
        <v/>
      </c>
      <c r="J8">
        <f>IF(B8,('Допущения'!$F$5+'Допущения'!$F$6)/MAX(1,ROUND('Допущения'!$F$4,0)),0)</f>
        <v/>
      </c>
      <c r="K8">
        <f>E8-F8-G8-H8-I8-J8</f>
        <v/>
      </c>
      <c r="L8">
        <f>L7+K8</f>
        <v/>
      </c>
      <c r="M8">
        <f>K8/(1+'Допущения'!$F$15)^(A8/12)</f>
        <v/>
      </c>
    </row>
    <row r="9">
      <c r="A9" t="n">
        <v>8</v>
      </c>
      <c r="B9">
        <f>A9&lt;=MAX(1,ROUND('Допущения'!$F$4,0))</f>
        <v/>
      </c>
      <c r="C9">
        <f>IF(B9,0,'Допущения'!$F$8*(1+'Допущения'!$F$9)^(A9-MAX(1,ROUND('Допущения'!$F$4,0))-1))</f>
        <v/>
      </c>
      <c r="D9">
        <f>D8*(1-'Допущения'!$F$11)+C9</f>
        <v/>
      </c>
      <c r="E9">
        <f>D9*'Допущения'!$F$10</f>
        <v/>
      </c>
      <c r="F9">
        <f>E9*'Допущения'!$F$13</f>
        <v/>
      </c>
      <c r="G9">
        <f>C9*'Допущения'!$F$12</f>
        <v/>
      </c>
      <c r="H9">
        <f>IF(B9,0,'Допущения'!$F$14)</f>
        <v/>
      </c>
      <c r="I9">
        <f>'Допущения'!$F$7/12</f>
        <v/>
      </c>
      <c r="J9">
        <f>IF(B9,('Допущения'!$F$5+'Допущения'!$F$6)/MAX(1,ROUND('Допущения'!$F$4,0)),0)</f>
        <v/>
      </c>
      <c r="K9">
        <f>E9-F9-G9-H9-I9-J9</f>
        <v/>
      </c>
      <c r="L9">
        <f>L8+K9</f>
        <v/>
      </c>
      <c r="M9">
        <f>K9/(1+'Допущения'!$F$15)^(A9/12)</f>
        <v/>
      </c>
    </row>
    <row r="10">
      <c r="A10" t="n">
        <v>9</v>
      </c>
      <c r="B10">
        <f>A10&lt;=MAX(1,ROUND('Допущения'!$F$4,0))</f>
        <v/>
      </c>
      <c r="C10">
        <f>IF(B10,0,'Допущения'!$F$8*(1+'Допущения'!$F$9)^(A10-MAX(1,ROUND('Допущения'!$F$4,0))-1))</f>
        <v/>
      </c>
      <c r="D10">
        <f>D9*(1-'Допущения'!$F$11)+C10</f>
        <v/>
      </c>
      <c r="E10">
        <f>D10*'Допущения'!$F$10</f>
        <v/>
      </c>
      <c r="F10">
        <f>E10*'Допущения'!$F$13</f>
        <v/>
      </c>
      <c r="G10">
        <f>C10*'Допущения'!$F$12</f>
        <v/>
      </c>
      <c r="H10">
        <f>IF(B10,0,'Допущения'!$F$14)</f>
        <v/>
      </c>
      <c r="I10">
        <f>'Допущения'!$F$7/12</f>
        <v/>
      </c>
      <c r="J10">
        <f>IF(B10,('Допущения'!$F$5+'Допущения'!$F$6)/MAX(1,ROUND('Допущения'!$F$4,0)),0)</f>
        <v/>
      </c>
      <c r="K10">
        <f>E10-F10-G10-H10-I10-J10</f>
        <v/>
      </c>
      <c r="L10">
        <f>L9+K10</f>
        <v/>
      </c>
      <c r="M10">
        <f>K10/(1+'Допущения'!$F$15)^(A10/12)</f>
        <v/>
      </c>
    </row>
    <row r="11">
      <c r="A11" t="n">
        <v>10</v>
      </c>
      <c r="B11">
        <f>A11&lt;=MAX(1,ROUND('Допущения'!$F$4,0))</f>
        <v/>
      </c>
      <c r="C11">
        <f>IF(B11,0,'Допущения'!$F$8*(1+'Допущения'!$F$9)^(A11-MAX(1,ROUND('Допущения'!$F$4,0))-1))</f>
        <v/>
      </c>
      <c r="D11">
        <f>D10*(1-'Допущения'!$F$11)+C11</f>
        <v/>
      </c>
      <c r="E11">
        <f>D11*'Допущения'!$F$10</f>
        <v/>
      </c>
      <c r="F11">
        <f>E11*'Допущения'!$F$13</f>
        <v/>
      </c>
      <c r="G11">
        <f>C11*'Допущения'!$F$12</f>
        <v/>
      </c>
      <c r="H11">
        <f>IF(B11,0,'Допущения'!$F$14)</f>
        <v/>
      </c>
      <c r="I11">
        <f>'Допущения'!$F$7/12</f>
        <v/>
      </c>
      <c r="J11">
        <f>IF(B11,('Допущения'!$F$5+'Допущения'!$F$6)/MAX(1,ROUND('Допущения'!$F$4,0)),0)</f>
        <v/>
      </c>
      <c r="K11">
        <f>E11-F11-G11-H11-I11-J11</f>
        <v/>
      </c>
      <c r="L11">
        <f>L10+K11</f>
        <v/>
      </c>
      <c r="M11">
        <f>K11/(1+'Допущения'!$F$15)^(A11/12)</f>
        <v/>
      </c>
    </row>
    <row r="12">
      <c r="A12" t="n">
        <v>11</v>
      </c>
      <c r="B12">
        <f>A12&lt;=MAX(1,ROUND('Допущения'!$F$4,0))</f>
        <v/>
      </c>
      <c r="C12">
        <f>IF(B12,0,'Допущения'!$F$8*(1+'Допущения'!$F$9)^(A12-MAX(1,ROUND('Допущения'!$F$4,0))-1))</f>
        <v/>
      </c>
      <c r="D12">
        <f>D11*(1-'Допущения'!$F$11)+C12</f>
        <v/>
      </c>
      <c r="E12">
        <f>D12*'Допущения'!$F$10</f>
        <v/>
      </c>
      <c r="F12">
        <f>E12*'Допущения'!$F$13</f>
        <v/>
      </c>
      <c r="G12">
        <f>C12*'Допущения'!$F$12</f>
        <v/>
      </c>
      <c r="H12">
        <f>IF(B12,0,'Допущения'!$F$14)</f>
        <v/>
      </c>
      <c r="I12">
        <f>'Допущения'!$F$7/12</f>
        <v/>
      </c>
      <c r="J12">
        <f>IF(B12,('Допущения'!$F$5+'Допущения'!$F$6)/MAX(1,ROUND('Допущения'!$F$4,0)),0)</f>
        <v/>
      </c>
      <c r="K12">
        <f>E12-F12-G12-H12-I12-J12</f>
        <v/>
      </c>
      <c r="L12">
        <f>L11+K12</f>
        <v/>
      </c>
      <c r="M12">
        <f>K12/(1+'Допущения'!$F$15)^(A12/12)</f>
        <v/>
      </c>
    </row>
    <row r="13">
      <c r="A13" t="n">
        <v>12</v>
      </c>
      <c r="B13">
        <f>A13&lt;=MAX(1,ROUND('Допущения'!$F$4,0))</f>
        <v/>
      </c>
      <c r="C13">
        <f>IF(B13,0,'Допущения'!$F$8*(1+'Допущения'!$F$9)^(A13-MAX(1,ROUND('Допущения'!$F$4,0))-1))</f>
        <v/>
      </c>
      <c r="D13">
        <f>D12*(1-'Допущения'!$F$11)+C13</f>
        <v/>
      </c>
      <c r="E13">
        <f>D13*'Допущения'!$F$10</f>
        <v/>
      </c>
      <c r="F13">
        <f>E13*'Допущения'!$F$13</f>
        <v/>
      </c>
      <c r="G13">
        <f>C13*'Допущения'!$F$12</f>
        <v/>
      </c>
      <c r="H13">
        <f>IF(B13,0,'Допущения'!$F$14)</f>
        <v/>
      </c>
      <c r="I13">
        <f>'Допущения'!$F$7/12</f>
        <v/>
      </c>
      <c r="J13">
        <f>IF(B13,('Допущения'!$F$5+'Допущения'!$F$6)/MAX(1,ROUND('Допущения'!$F$4,0)),0)</f>
        <v/>
      </c>
      <c r="K13">
        <f>E13-F13-G13-H13-I13-J13</f>
        <v/>
      </c>
      <c r="L13">
        <f>L12+K13</f>
        <v/>
      </c>
      <c r="M13">
        <f>K13/(1+'Допущения'!$F$15)^(A13/12)</f>
        <v/>
      </c>
    </row>
    <row r="14">
      <c r="A14" t="n">
        <v>13</v>
      </c>
      <c r="B14">
        <f>A14&lt;=MAX(1,ROUND('Допущения'!$F$4,0))</f>
        <v/>
      </c>
      <c r="C14">
        <f>IF(B14,0,'Допущения'!$F$8*(1+'Допущения'!$F$9)^(A14-MAX(1,ROUND('Допущения'!$F$4,0))-1))</f>
        <v/>
      </c>
      <c r="D14">
        <f>D13*(1-'Допущения'!$F$11)+C14</f>
        <v/>
      </c>
      <c r="E14">
        <f>D14*'Допущения'!$F$10</f>
        <v/>
      </c>
      <c r="F14">
        <f>E14*'Допущения'!$F$13</f>
        <v/>
      </c>
      <c r="G14">
        <f>C14*'Допущения'!$F$12</f>
        <v/>
      </c>
      <c r="H14">
        <f>IF(B14,0,'Допущения'!$F$14)</f>
        <v/>
      </c>
      <c r="I14">
        <f>'Допущения'!$F$7/12</f>
        <v/>
      </c>
      <c r="J14">
        <f>IF(B14,('Допущения'!$F$5+'Допущения'!$F$6)/MAX(1,ROUND('Допущения'!$F$4,0)),0)</f>
        <v/>
      </c>
      <c r="K14">
        <f>E14-F14-G14-H14-I14-J14</f>
        <v/>
      </c>
      <c r="L14">
        <f>L13+K14</f>
        <v/>
      </c>
      <c r="M14">
        <f>K14/(1+'Допущения'!$F$15)^(A14/12)</f>
        <v/>
      </c>
    </row>
    <row r="15">
      <c r="A15" t="n">
        <v>14</v>
      </c>
      <c r="B15">
        <f>A15&lt;=MAX(1,ROUND('Допущения'!$F$4,0))</f>
        <v/>
      </c>
      <c r="C15">
        <f>IF(B15,0,'Допущения'!$F$8*(1+'Допущения'!$F$9)^(A15-MAX(1,ROUND('Допущения'!$F$4,0))-1))</f>
        <v/>
      </c>
      <c r="D15">
        <f>D14*(1-'Допущения'!$F$11)+C15</f>
        <v/>
      </c>
      <c r="E15">
        <f>D15*'Допущения'!$F$10</f>
        <v/>
      </c>
      <c r="F15">
        <f>E15*'Допущения'!$F$13</f>
        <v/>
      </c>
      <c r="G15">
        <f>C15*'Допущения'!$F$12</f>
        <v/>
      </c>
      <c r="H15">
        <f>IF(B15,0,'Допущения'!$F$14)</f>
        <v/>
      </c>
      <c r="I15">
        <f>'Допущения'!$F$7/12</f>
        <v/>
      </c>
      <c r="J15">
        <f>IF(B15,('Допущения'!$F$5+'Допущения'!$F$6)/MAX(1,ROUND('Допущения'!$F$4,0)),0)</f>
        <v/>
      </c>
      <c r="K15">
        <f>E15-F15-G15-H15-I15-J15</f>
        <v/>
      </c>
      <c r="L15">
        <f>L14+K15</f>
        <v/>
      </c>
      <c r="M15">
        <f>K15/(1+'Допущения'!$F$15)^(A15/12)</f>
        <v/>
      </c>
    </row>
    <row r="16">
      <c r="A16" t="n">
        <v>15</v>
      </c>
      <c r="B16">
        <f>A16&lt;=MAX(1,ROUND('Допущения'!$F$4,0))</f>
        <v/>
      </c>
      <c r="C16">
        <f>IF(B16,0,'Допущения'!$F$8*(1+'Допущения'!$F$9)^(A16-MAX(1,ROUND('Допущения'!$F$4,0))-1))</f>
        <v/>
      </c>
      <c r="D16">
        <f>D15*(1-'Допущения'!$F$11)+C16</f>
        <v/>
      </c>
      <c r="E16">
        <f>D16*'Допущения'!$F$10</f>
        <v/>
      </c>
      <c r="F16">
        <f>E16*'Допущения'!$F$13</f>
        <v/>
      </c>
      <c r="G16">
        <f>C16*'Допущения'!$F$12</f>
        <v/>
      </c>
      <c r="H16">
        <f>IF(B16,0,'Допущения'!$F$14)</f>
        <v/>
      </c>
      <c r="I16">
        <f>'Допущения'!$F$7/12</f>
        <v/>
      </c>
      <c r="J16">
        <f>IF(B16,('Допущения'!$F$5+'Допущения'!$F$6)/MAX(1,ROUND('Допущения'!$F$4,0)),0)</f>
        <v/>
      </c>
      <c r="K16">
        <f>E16-F16-G16-H16-I16-J16</f>
        <v/>
      </c>
      <c r="L16">
        <f>L15+K16</f>
        <v/>
      </c>
      <c r="M16">
        <f>K16/(1+'Допущения'!$F$15)^(A16/12)</f>
        <v/>
      </c>
    </row>
    <row r="17">
      <c r="A17" t="n">
        <v>16</v>
      </c>
      <c r="B17">
        <f>A17&lt;=MAX(1,ROUND('Допущения'!$F$4,0))</f>
        <v/>
      </c>
      <c r="C17">
        <f>IF(B17,0,'Допущения'!$F$8*(1+'Допущения'!$F$9)^(A17-MAX(1,ROUND('Допущения'!$F$4,0))-1))</f>
        <v/>
      </c>
      <c r="D17">
        <f>D16*(1-'Допущения'!$F$11)+C17</f>
        <v/>
      </c>
      <c r="E17">
        <f>D17*'Допущения'!$F$10</f>
        <v/>
      </c>
      <c r="F17">
        <f>E17*'Допущения'!$F$13</f>
        <v/>
      </c>
      <c r="G17">
        <f>C17*'Допущения'!$F$12</f>
        <v/>
      </c>
      <c r="H17">
        <f>IF(B17,0,'Допущения'!$F$14)</f>
        <v/>
      </c>
      <c r="I17">
        <f>'Допущения'!$F$7/12</f>
        <v/>
      </c>
      <c r="J17">
        <f>IF(B17,('Допущения'!$F$5+'Допущения'!$F$6)/MAX(1,ROUND('Допущения'!$F$4,0)),0)</f>
        <v/>
      </c>
      <c r="K17">
        <f>E17-F17-G17-H17-I17-J17</f>
        <v/>
      </c>
      <c r="L17">
        <f>L16+K17</f>
        <v/>
      </c>
      <c r="M17">
        <f>K17/(1+'Допущения'!$F$15)^(A17/12)</f>
        <v/>
      </c>
    </row>
    <row r="18">
      <c r="A18" t="n">
        <v>17</v>
      </c>
      <c r="B18">
        <f>A18&lt;=MAX(1,ROUND('Допущения'!$F$4,0))</f>
        <v/>
      </c>
      <c r="C18">
        <f>IF(B18,0,'Допущения'!$F$8*(1+'Допущения'!$F$9)^(A18-MAX(1,ROUND('Допущения'!$F$4,0))-1))</f>
        <v/>
      </c>
      <c r="D18">
        <f>D17*(1-'Допущения'!$F$11)+C18</f>
        <v/>
      </c>
      <c r="E18">
        <f>D18*'Допущения'!$F$10</f>
        <v/>
      </c>
      <c r="F18">
        <f>E18*'Допущения'!$F$13</f>
        <v/>
      </c>
      <c r="G18">
        <f>C18*'Допущения'!$F$12</f>
        <v/>
      </c>
      <c r="H18">
        <f>IF(B18,0,'Допущения'!$F$14)</f>
        <v/>
      </c>
      <c r="I18">
        <f>'Допущения'!$F$7/12</f>
        <v/>
      </c>
      <c r="J18">
        <f>IF(B18,('Допущения'!$F$5+'Допущения'!$F$6)/MAX(1,ROUND('Допущения'!$F$4,0)),0)</f>
        <v/>
      </c>
      <c r="K18">
        <f>E18-F18-G18-H18-I18-J18</f>
        <v/>
      </c>
      <c r="L18">
        <f>L17+K18</f>
        <v/>
      </c>
      <c r="M18">
        <f>K18/(1+'Допущения'!$F$15)^(A18/12)</f>
        <v/>
      </c>
    </row>
    <row r="19">
      <c r="A19" t="n">
        <v>18</v>
      </c>
      <c r="B19">
        <f>A19&lt;=MAX(1,ROUND('Допущения'!$F$4,0))</f>
        <v/>
      </c>
      <c r="C19">
        <f>IF(B19,0,'Допущения'!$F$8*(1+'Допущения'!$F$9)^(A19-MAX(1,ROUND('Допущения'!$F$4,0))-1))</f>
        <v/>
      </c>
      <c r="D19">
        <f>D18*(1-'Допущения'!$F$11)+C19</f>
        <v/>
      </c>
      <c r="E19">
        <f>D19*'Допущения'!$F$10</f>
        <v/>
      </c>
      <c r="F19">
        <f>E19*'Допущения'!$F$13</f>
        <v/>
      </c>
      <c r="G19">
        <f>C19*'Допущения'!$F$12</f>
        <v/>
      </c>
      <c r="H19">
        <f>IF(B19,0,'Допущения'!$F$14)</f>
        <v/>
      </c>
      <c r="I19">
        <f>'Допущения'!$F$7/12</f>
        <v/>
      </c>
      <c r="J19">
        <f>IF(B19,('Допущения'!$F$5+'Допущения'!$F$6)/MAX(1,ROUND('Допущения'!$F$4,0)),0)</f>
        <v/>
      </c>
      <c r="K19">
        <f>E19-F19-G19-H19-I19-J19</f>
        <v/>
      </c>
      <c r="L19">
        <f>L18+K19</f>
        <v/>
      </c>
      <c r="M19">
        <f>K19/(1+'Допущения'!$F$15)^(A19/12)</f>
        <v/>
      </c>
    </row>
    <row r="20">
      <c r="A20" t="n">
        <v>19</v>
      </c>
      <c r="B20">
        <f>A20&lt;=MAX(1,ROUND('Допущения'!$F$4,0))</f>
        <v/>
      </c>
      <c r="C20">
        <f>IF(B20,0,'Допущения'!$F$8*(1+'Допущения'!$F$9)^(A20-MAX(1,ROUND('Допущения'!$F$4,0))-1))</f>
        <v/>
      </c>
      <c r="D20">
        <f>D19*(1-'Допущения'!$F$11)+C20</f>
        <v/>
      </c>
      <c r="E20">
        <f>D20*'Допущения'!$F$10</f>
        <v/>
      </c>
      <c r="F20">
        <f>E20*'Допущения'!$F$13</f>
        <v/>
      </c>
      <c r="G20">
        <f>C20*'Допущения'!$F$12</f>
        <v/>
      </c>
      <c r="H20">
        <f>IF(B20,0,'Допущения'!$F$14)</f>
        <v/>
      </c>
      <c r="I20">
        <f>'Допущения'!$F$7/12</f>
        <v/>
      </c>
      <c r="J20">
        <f>IF(B20,('Допущения'!$F$5+'Допущения'!$F$6)/MAX(1,ROUND('Допущения'!$F$4,0)),0)</f>
        <v/>
      </c>
      <c r="K20">
        <f>E20-F20-G20-H20-I20-J20</f>
        <v/>
      </c>
      <c r="L20">
        <f>L19+K20</f>
        <v/>
      </c>
      <c r="M20">
        <f>K20/(1+'Допущения'!$F$15)^(A20/12)</f>
        <v/>
      </c>
    </row>
    <row r="21">
      <c r="A21" t="n">
        <v>20</v>
      </c>
      <c r="B21">
        <f>A21&lt;=MAX(1,ROUND('Допущения'!$F$4,0))</f>
        <v/>
      </c>
      <c r="C21">
        <f>IF(B21,0,'Допущения'!$F$8*(1+'Допущения'!$F$9)^(A21-MAX(1,ROUND('Допущения'!$F$4,0))-1))</f>
        <v/>
      </c>
      <c r="D21">
        <f>D20*(1-'Допущения'!$F$11)+C21</f>
        <v/>
      </c>
      <c r="E21">
        <f>D21*'Допущения'!$F$10</f>
        <v/>
      </c>
      <c r="F21">
        <f>E21*'Допущения'!$F$13</f>
        <v/>
      </c>
      <c r="G21">
        <f>C21*'Допущения'!$F$12</f>
        <v/>
      </c>
      <c r="H21">
        <f>IF(B21,0,'Допущения'!$F$14)</f>
        <v/>
      </c>
      <c r="I21">
        <f>'Допущения'!$F$7/12</f>
        <v/>
      </c>
      <c r="J21">
        <f>IF(B21,('Допущения'!$F$5+'Допущения'!$F$6)/MAX(1,ROUND('Допущения'!$F$4,0)),0)</f>
        <v/>
      </c>
      <c r="K21">
        <f>E21-F21-G21-H21-I21-J21</f>
        <v/>
      </c>
      <c r="L21">
        <f>L20+K21</f>
        <v/>
      </c>
      <c r="M21">
        <f>K21/(1+'Допущения'!$F$15)^(A21/12)</f>
        <v/>
      </c>
    </row>
    <row r="22">
      <c r="A22" t="n">
        <v>21</v>
      </c>
      <c r="B22">
        <f>A22&lt;=MAX(1,ROUND('Допущения'!$F$4,0))</f>
        <v/>
      </c>
      <c r="C22">
        <f>IF(B22,0,'Допущения'!$F$8*(1+'Допущения'!$F$9)^(A22-MAX(1,ROUND('Допущения'!$F$4,0))-1))</f>
        <v/>
      </c>
      <c r="D22">
        <f>D21*(1-'Допущения'!$F$11)+C22</f>
        <v/>
      </c>
      <c r="E22">
        <f>D22*'Допущения'!$F$10</f>
        <v/>
      </c>
      <c r="F22">
        <f>E22*'Допущения'!$F$13</f>
        <v/>
      </c>
      <c r="G22">
        <f>C22*'Допущения'!$F$12</f>
        <v/>
      </c>
      <c r="H22">
        <f>IF(B22,0,'Допущения'!$F$14)</f>
        <v/>
      </c>
      <c r="I22">
        <f>'Допущения'!$F$7/12</f>
        <v/>
      </c>
      <c r="J22">
        <f>IF(B22,('Допущения'!$F$5+'Допущения'!$F$6)/MAX(1,ROUND('Допущения'!$F$4,0)),0)</f>
        <v/>
      </c>
      <c r="K22">
        <f>E22-F22-G22-H22-I22-J22</f>
        <v/>
      </c>
      <c r="L22">
        <f>L21+K22</f>
        <v/>
      </c>
      <c r="M22">
        <f>K22/(1+'Допущения'!$F$15)^(A22/12)</f>
        <v/>
      </c>
    </row>
    <row r="23">
      <c r="A23" t="n">
        <v>22</v>
      </c>
      <c r="B23">
        <f>A23&lt;=MAX(1,ROUND('Допущения'!$F$4,0))</f>
        <v/>
      </c>
      <c r="C23">
        <f>IF(B23,0,'Допущения'!$F$8*(1+'Допущения'!$F$9)^(A23-MAX(1,ROUND('Допущения'!$F$4,0))-1))</f>
        <v/>
      </c>
      <c r="D23">
        <f>D22*(1-'Допущения'!$F$11)+C23</f>
        <v/>
      </c>
      <c r="E23">
        <f>D23*'Допущения'!$F$10</f>
        <v/>
      </c>
      <c r="F23">
        <f>E23*'Допущения'!$F$13</f>
        <v/>
      </c>
      <c r="G23">
        <f>C23*'Допущения'!$F$12</f>
        <v/>
      </c>
      <c r="H23">
        <f>IF(B23,0,'Допущения'!$F$14)</f>
        <v/>
      </c>
      <c r="I23">
        <f>'Допущения'!$F$7/12</f>
        <v/>
      </c>
      <c r="J23">
        <f>IF(B23,('Допущения'!$F$5+'Допущения'!$F$6)/MAX(1,ROUND('Допущения'!$F$4,0)),0)</f>
        <v/>
      </c>
      <c r="K23">
        <f>E23-F23-G23-H23-I23-J23</f>
        <v/>
      </c>
      <c r="L23">
        <f>L22+K23</f>
        <v/>
      </c>
      <c r="M23">
        <f>K23/(1+'Допущения'!$F$15)^(A23/12)</f>
        <v/>
      </c>
    </row>
    <row r="24">
      <c r="A24" t="n">
        <v>23</v>
      </c>
      <c r="B24">
        <f>A24&lt;=MAX(1,ROUND('Допущения'!$F$4,0))</f>
        <v/>
      </c>
      <c r="C24">
        <f>IF(B24,0,'Допущения'!$F$8*(1+'Допущения'!$F$9)^(A24-MAX(1,ROUND('Допущения'!$F$4,0))-1))</f>
        <v/>
      </c>
      <c r="D24">
        <f>D23*(1-'Допущения'!$F$11)+C24</f>
        <v/>
      </c>
      <c r="E24">
        <f>D24*'Допущения'!$F$10</f>
        <v/>
      </c>
      <c r="F24">
        <f>E24*'Допущения'!$F$13</f>
        <v/>
      </c>
      <c r="G24">
        <f>C24*'Допущения'!$F$12</f>
        <v/>
      </c>
      <c r="H24">
        <f>IF(B24,0,'Допущения'!$F$14)</f>
        <v/>
      </c>
      <c r="I24">
        <f>'Допущения'!$F$7/12</f>
        <v/>
      </c>
      <c r="J24">
        <f>IF(B24,('Допущения'!$F$5+'Допущения'!$F$6)/MAX(1,ROUND('Допущения'!$F$4,0)),0)</f>
        <v/>
      </c>
      <c r="K24">
        <f>E24-F24-G24-H24-I24-J24</f>
        <v/>
      </c>
      <c r="L24">
        <f>L23+K24</f>
        <v/>
      </c>
      <c r="M24">
        <f>K24/(1+'Допущения'!$F$15)^(A24/12)</f>
        <v/>
      </c>
    </row>
    <row r="25">
      <c r="A25" t="n">
        <v>24</v>
      </c>
      <c r="B25">
        <f>A25&lt;=MAX(1,ROUND('Допущения'!$F$4,0))</f>
        <v/>
      </c>
      <c r="C25">
        <f>IF(B25,0,'Допущения'!$F$8*(1+'Допущения'!$F$9)^(A25-MAX(1,ROUND('Допущения'!$F$4,0))-1))</f>
        <v/>
      </c>
      <c r="D25">
        <f>D24*(1-'Допущения'!$F$11)+C25</f>
        <v/>
      </c>
      <c r="E25">
        <f>D25*'Допущения'!$F$10</f>
        <v/>
      </c>
      <c r="F25">
        <f>E25*'Допущения'!$F$13</f>
        <v/>
      </c>
      <c r="G25">
        <f>C25*'Допущения'!$F$12</f>
        <v/>
      </c>
      <c r="H25">
        <f>IF(B25,0,'Допущения'!$F$14)</f>
        <v/>
      </c>
      <c r="I25">
        <f>'Допущения'!$F$7/12</f>
        <v/>
      </c>
      <c r="J25">
        <f>IF(B25,('Допущения'!$F$5+'Допущения'!$F$6)/MAX(1,ROUND('Допущения'!$F$4,0)),0)</f>
        <v/>
      </c>
      <c r="K25">
        <f>E25-F25-G25-H25-I25-J25</f>
        <v/>
      </c>
      <c r="L25">
        <f>L24+K25</f>
        <v/>
      </c>
      <c r="M25">
        <f>K25/(1+'Допущения'!$F$15)^(A25/12)</f>
        <v/>
      </c>
    </row>
    <row r="26">
      <c r="A26" t="n">
        <v>25</v>
      </c>
      <c r="B26">
        <f>A26&lt;=MAX(1,ROUND('Допущения'!$F$4,0))</f>
        <v/>
      </c>
      <c r="C26">
        <f>IF(B26,0,'Допущения'!$F$8*(1+'Допущения'!$F$9)^(A26-MAX(1,ROUND('Допущения'!$F$4,0))-1))</f>
        <v/>
      </c>
      <c r="D26">
        <f>D25*(1-'Допущения'!$F$11)+C26</f>
        <v/>
      </c>
      <c r="E26">
        <f>D26*'Допущения'!$F$10</f>
        <v/>
      </c>
      <c r="F26">
        <f>E26*'Допущения'!$F$13</f>
        <v/>
      </c>
      <c r="G26">
        <f>C26*'Допущения'!$F$12</f>
        <v/>
      </c>
      <c r="H26">
        <f>IF(B26,0,'Допущения'!$F$14)</f>
        <v/>
      </c>
      <c r="I26">
        <f>'Допущения'!$F$7/12</f>
        <v/>
      </c>
      <c r="J26">
        <f>IF(B26,('Допущения'!$F$5+'Допущения'!$F$6)/MAX(1,ROUND('Допущения'!$F$4,0)),0)</f>
        <v/>
      </c>
      <c r="K26">
        <f>E26-F26-G26-H26-I26-J26</f>
        <v/>
      </c>
      <c r="L26">
        <f>L25+K26</f>
        <v/>
      </c>
      <c r="M26">
        <f>K26/(1+'Допущения'!$F$15)^(A26/12)</f>
        <v/>
      </c>
    </row>
    <row r="27">
      <c r="A27" t="n">
        <v>26</v>
      </c>
      <c r="B27">
        <f>A27&lt;=MAX(1,ROUND('Допущения'!$F$4,0))</f>
        <v/>
      </c>
      <c r="C27">
        <f>IF(B27,0,'Допущения'!$F$8*(1+'Допущения'!$F$9)^(A27-MAX(1,ROUND('Допущения'!$F$4,0))-1))</f>
        <v/>
      </c>
      <c r="D27">
        <f>D26*(1-'Допущения'!$F$11)+C27</f>
        <v/>
      </c>
      <c r="E27">
        <f>D27*'Допущения'!$F$10</f>
        <v/>
      </c>
      <c r="F27">
        <f>E27*'Допущения'!$F$13</f>
        <v/>
      </c>
      <c r="G27">
        <f>C27*'Допущения'!$F$12</f>
        <v/>
      </c>
      <c r="H27">
        <f>IF(B27,0,'Допущения'!$F$14)</f>
        <v/>
      </c>
      <c r="I27">
        <f>'Допущения'!$F$7/12</f>
        <v/>
      </c>
      <c r="J27">
        <f>IF(B27,('Допущения'!$F$5+'Допущения'!$F$6)/MAX(1,ROUND('Допущения'!$F$4,0)),0)</f>
        <v/>
      </c>
      <c r="K27">
        <f>E27-F27-G27-H27-I27-J27</f>
        <v/>
      </c>
      <c r="L27">
        <f>L26+K27</f>
        <v/>
      </c>
      <c r="M27">
        <f>K27/(1+'Допущения'!$F$15)^(A27/12)</f>
        <v/>
      </c>
    </row>
    <row r="28">
      <c r="A28" t="n">
        <v>27</v>
      </c>
      <c r="B28">
        <f>A28&lt;=MAX(1,ROUND('Допущения'!$F$4,0))</f>
        <v/>
      </c>
      <c r="C28">
        <f>IF(B28,0,'Допущения'!$F$8*(1+'Допущения'!$F$9)^(A28-MAX(1,ROUND('Допущения'!$F$4,0))-1))</f>
        <v/>
      </c>
      <c r="D28">
        <f>D27*(1-'Допущения'!$F$11)+C28</f>
        <v/>
      </c>
      <c r="E28">
        <f>D28*'Допущения'!$F$10</f>
        <v/>
      </c>
      <c r="F28">
        <f>E28*'Допущения'!$F$13</f>
        <v/>
      </c>
      <c r="G28">
        <f>C28*'Допущения'!$F$12</f>
        <v/>
      </c>
      <c r="H28">
        <f>IF(B28,0,'Допущения'!$F$14)</f>
        <v/>
      </c>
      <c r="I28">
        <f>'Допущения'!$F$7/12</f>
        <v/>
      </c>
      <c r="J28">
        <f>IF(B28,('Допущения'!$F$5+'Допущения'!$F$6)/MAX(1,ROUND('Допущения'!$F$4,0)),0)</f>
        <v/>
      </c>
      <c r="K28">
        <f>E28-F28-G28-H28-I28-J28</f>
        <v/>
      </c>
      <c r="L28">
        <f>L27+K28</f>
        <v/>
      </c>
      <c r="M28">
        <f>K28/(1+'Допущения'!$F$15)^(A28/12)</f>
        <v/>
      </c>
    </row>
    <row r="29">
      <c r="A29" t="n">
        <v>28</v>
      </c>
      <c r="B29">
        <f>A29&lt;=MAX(1,ROUND('Допущения'!$F$4,0))</f>
        <v/>
      </c>
      <c r="C29">
        <f>IF(B29,0,'Допущения'!$F$8*(1+'Допущения'!$F$9)^(A29-MAX(1,ROUND('Допущения'!$F$4,0))-1))</f>
        <v/>
      </c>
      <c r="D29">
        <f>D28*(1-'Допущения'!$F$11)+C29</f>
        <v/>
      </c>
      <c r="E29">
        <f>D29*'Допущения'!$F$10</f>
        <v/>
      </c>
      <c r="F29">
        <f>E29*'Допущения'!$F$13</f>
        <v/>
      </c>
      <c r="G29">
        <f>C29*'Допущения'!$F$12</f>
        <v/>
      </c>
      <c r="H29">
        <f>IF(B29,0,'Допущения'!$F$14)</f>
        <v/>
      </c>
      <c r="I29">
        <f>'Допущения'!$F$7/12</f>
        <v/>
      </c>
      <c r="J29">
        <f>IF(B29,('Допущения'!$F$5+'Допущения'!$F$6)/MAX(1,ROUND('Допущения'!$F$4,0)),0)</f>
        <v/>
      </c>
      <c r="K29">
        <f>E29-F29-G29-H29-I29-J29</f>
        <v/>
      </c>
      <c r="L29">
        <f>L28+K29</f>
        <v/>
      </c>
      <c r="M29">
        <f>K29/(1+'Допущения'!$F$15)^(A29/12)</f>
        <v/>
      </c>
    </row>
    <row r="30">
      <c r="A30" t="n">
        <v>29</v>
      </c>
      <c r="B30">
        <f>A30&lt;=MAX(1,ROUND('Допущения'!$F$4,0))</f>
        <v/>
      </c>
      <c r="C30">
        <f>IF(B30,0,'Допущения'!$F$8*(1+'Допущения'!$F$9)^(A30-MAX(1,ROUND('Допущения'!$F$4,0))-1))</f>
        <v/>
      </c>
      <c r="D30">
        <f>D29*(1-'Допущения'!$F$11)+C30</f>
        <v/>
      </c>
      <c r="E30">
        <f>D30*'Допущения'!$F$10</f>
        <v/>
      </c>
      <c r="F30">
        <f>E30*'Допущения'!$F$13</f>
        <v/>
      </c>
      <c r="G30">
        <f>C30*'Допущения'!$F$12</f>
        <v/>
      </c>
      <c r="H30">
        <f>IF(B30,0,'Допущения'!$F$14)</f>
        <v/>
      </c>
      <c r="I30">
        <f>'Допущения'!$F$7/12</f>
        <v/>
      </c>
      <c r="J30">
        <f>IF(B30,('Допущения'!$F$5+'Допущения'!$F$6)/MAX(1,ROUND('Допущения'!$F$4,0)),0)</f>
        <v/>
      </c>
      <c r="K30">
        <f>E30-F30-G30-H30-I30-J30</f>
        <v/>
      </c>
      <c r="L30">
        <f>L29+K30</f>
        <v/>
      </c>
      <c r="M30">
        <f>K30/(1+'Допущения'!$F$15)^(A30/12)</f>
        <v/>
      </c>
    </row>
    <row r="31">
      <c r="A31" t="n">
        <v>30</v>
      </c>
      <c r="B31">
        <f>A31&lt;=MAX(1,ROUND('Допущения'!$F$4,0))</f>
        <v/>
      </c>
      <c r="C31">
        <f>IF(B31,0,'Допущения'!$F$8*(1+'Допущения'!$F$9)^(A31-MAX(1,ROUND('Допущения'!$F$4,0))-1))</f>
        <v/>
      </c>
      <c r="D31">
        <f>D30*(1-'Допущения'!$F$11)+C31</f>
        <v/>
      </c>
      <c r="E31">
        <f>D31*'Допущения'!$F$10</f>
        <v/>
      </c>
      <c r="F31">
        <f>E31*'Допущения'!$F$13</f>
        <v/>
      </c>
      <c r="G31">
        <f>C31*'Допущения'!$F$12</f>
        <v/>
      </c>
      <c r="H31">
        <f>IF(B31,0,'Допущения'!$F$14)</f>
        <v/>
      </c>
      <c r="I31">
        <f>'Допущения'!$F$7/12</f>
        <v/>
      </c>
      <c r="J31">
        <f>IF(B31,('Допущения'!$F$5+'Допущения'!$F$6)/MAX(1,ROUND('Допущения'!$F$4,0)),0)</f>
        <v/>
      </c>
      <c r="K31">
        <f>E31-F31-G31-H31-I31-J31</f>
        <v/>
      </c>
      <c r="L31">
        <f>L30+K31</f>
        <v/>
      </c>
      <c r="M31">
        <f>K31/(1+'Допущения'!$F$15)^(A31/12)</f>
        <v/>
      </c>
    </row>
    <row r="32">
      <c r="A32" t="n">
        <v>31</v>
      </c>
      <c r="B32">
        <f>A32&lt;=MAX(1,ROUND('Допущения'!$F$4,0))</f>
        <v/>
      </c>
      <c r="C32">
        <f>IF(B32,0,'Допущения'!$F$8*(1+'Допущения'!$F$9)^(A32-MAX(1,ROUND('Допущения'!$F$4,0))-1))</f>
        <v/>
      </c>
      <c r="D32">
        <f>D31*(1-'Допущения'!$F$11)+C32</f>
        <v/>
      </c>
      <c r="E32">
        <f>D32*'Допущения'!$F$10</f>
        <v/>
      </c>
      <c r="F32">
        <f>E32*'Допущения'!$F$13</f>
        <v/>
      </c>
      <c r="G32">
        <f>C32*'Допущения'!$F$12</f>
        <v/>
      </c>
      <c r="H32">
        <f>IF(B32,0,'Допущения'!$F$14)</f>
        <v/>
      </c>
      <c r="I32">
        <f>'Допущения'!$F$7/12</f>
        <v/>
      </c>
      <c r="J32">
        <f>IF(B32,('Допущения'!$F$5+'Допущения'!$F$6)/MAX(1,ROUND('Допущения'!$F$4,0)),0)</f>
        <v/>
      </c>
      <c r="K32">
        <f>E32-F32-G32-H32-I32-J32</f>
        <v/>
      </c>
      <c r="L32">
        <f>L31+K32</f>
        <v/>
      </c>
      <c r="M32">
        <f>K32/(1+'Допущения'!$F$15)^(A32/12)</f>
        <v/>
      </c>
    </row>
    <row r="33">
      <c r="A33" t="n">
        <v>32</v>
      </c>
      <c r="B33">
        <f>A33&lt;=MAX(1,ROUND('Допущения'!$F$4,0))</f>
        <v/>
      </c>
      <c r="C33">
        <f>IF(B33,0,'Допущения'!$F$8*(1+'Допущения'!$F$9)^(A33-MAX(1,ROUND('Допущения'!$F$4,0))-1))</f>
        <v/>
      </c>
      <c r="D33">
        <f>D32*(1-'Допущения'!$F$11)+C33</f>
        <v/>
      </c>
      <c r="E33">
        <f>D33*'Допущения'!$F$10</f>
        <v/>
      </c>
      <c r="F33">
        <f>E33*'Допущения'!$F$13</f>
        <v/>
      </c>
      <c r="G33">
        <f>C33*'Допущения'!$F$12</f>
        <v/>
      </c>
      <c r="H33">
        <f>IF(B33,0,'Допущения'!$F$14)</f>
        <v/>
      </c>
      <c r="I33">
        <f>'Допущения'!$F$7/12</f>
        <v/>
      </c>
      <c r="J33">
        <f>IF(B33,('Допущения'!$F$5+'Допущения'!$F$6)/MAX(1,ROUND('Допущения'!$F$4,0)),0)</f>
        <v/>
      </c>
      <c r="K33">
        <f>E33-F33-G33-H33-I33-J33</f>
        <v/>
      </c>
      <c r="L33">
        <f>L32+K33</f>
        <v/>
      </c>
      <c r="M33">
        <f>K33/(1+'Допущения'!$F$15)^(A33/12)</f>
        <v/>
      </c>
    </row>
    <row r="34">
      <c r="A34" t="n">
        <v>33</v>
      </c>
      <c r="B34">
        <f>A34&lt;=MAX(1,ROUND('Допущения'!$F$4,0))</f>
        <v/>
      </c>
      <c r="C34">
        <f>IF(B34,0,'Допущения'!$F$8*(1+'Допущения'!$F$9)^(A34-MAX(1,ROUND('Допущения'!$F$4,0))-1))</f>
        <v/>
      </c>
      <c r="D34">
        <f>D33*(1-'Допущения'!$F$11)+C34</f>
        <v/>
      </c>
      <c r="E34">
        <f>D34*'Допущения'!$F$10</f>
        <v/>
      </c>
      <c r="F34">
        <f>E34*'Допущения'!$F$13</f>
        <v/>
      </c>
      <c r="G34">
        <f>C34*'Допущения'!$F$12</f>
        <v/>
      </c>
      <c r="H34">
        <f>IF(B34,0,'Допущения'!$F$14)</f>
        <v/>
      </c>
      <c r="I34">
        <f>'Допущения'!$F$7/12</f>
        <v/>
      </c>
      <c r="J34">
        <f>IF(B34,('Допущения'!$F$5+'Допущения'!$F$6)/MAX(1,ROUND('Допущения'!$F$4,0)),0)</f>
        <v/>
      </c>
      <c r="K34">
        <f>E34-F34-G34-H34-I34-J34</f>
        <v/>
      </c>
      <c r="L34">
        <f>L33+K34</f>
        <v/>
      </c>
      <c r="M34">
        <f>K34/(1+'Допущения'!$F$15)^(A34/12)</f>
        <v/>
      </c>
    </row>
    <row r="35">
      <c r="A35" t="n">
        <v>34</v>
      </c>
      <c r="B35">
        <f>A35&lt;=MAX(1,ROUND('Допущения'!$F$4,0))</f>
        <v/>
      </c>
      <c r="C35">
        <f>IF(B35,0,'Допущения'!$F$8*(1+'Допущения'!$F$9)^(A35-MAX(1,ROUND('Допущения'!$F$4,0))-1))</f>
        <v/>
      </c>
      <c r="D35">
        <f>D34*(1-'Допущения'!$F$11)+C35</f>
        <v/>
      </c>
      <c r="E35">
        <f>D35*'Допущения'!$F$10</f>
        <v/>
      </c>
      <c r="F35">
        <f>E35*'Допущения'!$F$13</f>
        <v/>
      </c>
      <c r="G35">
        <f>C35*'Допущения'!$F$12</f>
        <v/>
      </c>
      <c r="H35">
        <f>IF(B35,0,'Допущения'!$F$14)</f>
        <v/>
      </c>
      <c r="I35">
        <f>'Допущения'!$F$7/12</f>
        <v/>
      </c>
      <c r="J35">
        <f>IF(B35,('Допущения'!$F$5+'Допущения'!$F$6)/MAX(1,ROUND('Допущения'!$F$4,0)),0)</f>
        <v/>
      </c>
      <c r="K35">
        <f>E35-F35-G35-H35-I35-J35</f>
        <v/>
      </c>
      <c r="L35">
        <f>L34+K35</f>
        <v/>
      </c>
      <c r="M35">
        <f>K35/(1+'Допущения'!$F$15)^(A35/12)</f>
        <v/>
      </c>
    </row>
    <row r="36">
      <c r="A36" t="n">
        <v>35</v>
      </c>
      <c r="B36">
        <f>A36&lt;=MAX(1,ROUND('Допущения'!$F$4,0))</f>
        <v/>
      </c>
      <c r="C36">
        <f>IF(B36,0,'Допущения'!$F$8*(1+'Допущения'!$F$9)^(A36-MAX(1,ROUND('Допущения'!$F$4,0))-1))</f>
        <v/>
      </c>
      <c r="D36">
        <f>D35*(1-'Допущения'!$F$11)+C36</f>
        <v/>
      </c>
      <c r="E36">
        <f>D36*'Допущения'!$F$10</f>
        <v/>
      </c>
      <c r="F36">
        <f>E36*'Допущения'!$F$13</f>
        <v/>
      </c>
      <c r="G36">
        <f>C36*'Допущения'!$F$12</f>
        <v/>
      </c>
      <c r="H36">
        <f>IF(B36,0,'Допущения'!$F$14)</f>
        <v/>
      </c>
      <c r="I36">
        <f>'Допущения'!$F$7/12</f>
        <v/>
      </c>
      <c r="J36">
        <f>IF(B36,('Допущения'!$F$5+'Допущения'!$F$6)/MAX(1,ROUND('Допущения'!$F$4,0)),0)</f>
        <v/>
      </c>
      <c r="K36">
        <f>E36-F36-G36-H36-I36-J36</f>
        <v/>
      </c>
      <c r="L36">
        <f>L35+K36</f>
        <v/>
      </c>
      <c r="M36">
        <f>K36/(1+'Допущения'!$F$15)^(A36/12)</f>
        <v/>
      </c>
    </row>
    <row r="37">
      <c r="A37" t="n">
        <v>36</v>
      </c>
      <c r="B37">
        <f>A37&lt;=MAX(1,ROUND('Допущения'!$F$4,0))</f>
        <v/>
      </c>
      <c r="C37">
        <f>IF(B37,0,'Допущения'!$F$8*(1+'Допущения'!$F$9)^(A37-MAX(1,ROUND('Допущения'!$F$4,0))-1))</f>
        <v/>
      </c>
      <c r="D37">
        <f>D36*(1-'Допущения'!$F$11)+C37</f>
        <v/>
      </c>
      <c r="E37">
        <f>D37*'Допущения'!$F$10</f>
        <v/>
      </c>
      <c r="F37">
        <f>E37*'Допущения'!$F$13</f>
        <v/>
      </c>
      <c r="G37">
        <f>C37*'Допущения'!$F$12</f>
        <v/>
      </c>
      <c r="H37">
        <f>IF(B37,0,'Допущения'!$F$14)</f>
        <v/>
      </c>
      <c r="I37">
        <f>'Допущения'!$F$7/12</f>
        <v/>
      </c>
      <c r="J37">
        <f>IF(B37,('Допущения'!$F$5+'Допущения'!$F$6)/MAX(1,ROUND('Допущения'!$F$4,0)),0)</f>
        <v/>
      </c>
      <c r="K37">
        <f>E37-F37-G37-H37-I37-J37</f>
        <v/>
      </c>
      <c r="L37">
        <f>L36+K37</f>
        <v/>
      </c>
      <c r="M37">
        <f>K37/(1+'Допущения'!$F$15)^(A37/12)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2026-10-13T12:08:24Z</dcterms:created>
  <dcterms:modified xmlns:dcterms="http://purl.org/dc/terms/" xmlns:xsi="http://www.w3.org/2001/XMLSchema-instance" xsi:type="dcterms:W3CDTF">2026-10-13T12:08:24Z</dcterms:modified>
</cp:coreProperties>
</file>